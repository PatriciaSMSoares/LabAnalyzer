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GFS03\G23a\FB36\Mitarbeiter\Patricia Soares\caracterization\Nova\"/>
    </mc:Choice>
  </mc:AlternateContent>
  <xr:revisionPtr revIDLastSave="0" documentId="13_ncr:1_{C3021897-2378-4F62-B044-AB685A15FCF6}" xr6:coauthVersionLast="47" xr6:coauthVersionMax="47" xr10:uidLastSave="{00000000-0000-0000-0000-000000000000}"/>
  <bookViews>
    <workbookView xWindow="31920" yWindow="3120" windowWidth="21600" windowHeight="1129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8" i="1"/>
  <c r="E9" i="1"/>
  <c r="D2" i="1"/>
  <c r="B2" i="1"/>
  <c r="B5" i="1"/>
  <c r="E5" i="1" s="1"/>
  <c r="D4" i="1"/>
  <c r="B4" i="1"/>
  <c r="D3" i="1"/>
  <c r="B3" i="1"/>
  <c r="E6" i="1"/>
  <c r="D7" i="1"/>
  <c r="E7" i="1" s="1"/>
  <c r="B7" i="1"/>
  <c r="D6" i="1"/>
  <c r="B6" i="1"/>
  <c r="D5" i="1"/>
  <c r="E2" i="1" l="1"/>
  <c r="E4" i="1"/>
  <c r="E3" i="1"/>
</calcChain>
</file>

<file path=xl/sharedStrings.xml><?xml version="1.0" encoding="utf-8"?>
<sst xmlns="http://schemas.openxmlformats.org/spreadsheetml/2006/main" count="23" uniqueCount="23">
  <si>
    <t>PSMS_AS_Air</t>
  </si>
  <si>
    <t>PSMS_AS_N2_B2</t>
  </si>
  <si>
    <t>PSMS_CT_N2_B2</t>
  </si>
  <si>
    <t>PSMS_PS_Air_21102025</t>
  </si>
  <si>
    <t>PSMS_PS_Air_N25PTBET_211025</t>
  </si>
  <si>
    <t>PSMS_PS_N2_B2</t>
  </si>
  <si>
    <t>empty</t>
  </si>
  <si>
    <t>wet</t>
  </si>
  <si>
    <t>dry</t>
  </si>
  <si>
    <t>sample</t>
  </si>
  <si>
    <t>Folder_Name</t>
  </si>
  <si>
    <t>PSMS_ES_0108_05112025</t>
  </si>
  <si>
    <t>PSMS_NoLab_ES_05112025</t>
  </si>
  <si>
    <t>PSMS_NORIT_Porosity_251105_Test1</t>
  </si>
  <si>
    <t>PSMS_PPS5_G_Porosity_07012026</t>
  </si>
  <si>
    <t>PSMS_PPS6_G_Porosity_07012026</t>
  </si>
  <si>
    <t>PSMS_PPS7_G_Porosity_22012026</t>
  </si>
  <si>
    <t>PSMS_PPS8_G_Porosity_26012026</t>
  </si>
  <si>
    <t>PSMS_PPS9_G_Porosity_26012026</t>
  </si>
  <si>
    <t>PSMS_PPS10_G_Porosity_09022026</t>
  </si>
  <si>
    <t>PSMS_PPS11_G_Porosity_09022026</t>
  </si>
  <si>
    <t>PSMS_PPS12_G_Porosity_16022026</t>
  </si>
  <si>
    <t>PSMS_PPS13_G_Porosity_16022026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</si>
</sst>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0" borderId="0" xfId="1" applyFill="1"/>
    <xf numFmtId="0" fontId="0" fillId="0" borderId="0" xfId="0" applyFill="1"/>
    <xf numFmtId="0" fontId="1" fillId="0" borderId="0" xfId="1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19" sqref="E19"/>
    </sheetView>
  </sheetViews>
  <sheetFormatPr defaultRowHeight="15" x14ac:dyDescent="0.25"/>
  <cols>
    <col min="1" max="1" width="34.28515625" bestFit="1" customWidth="1"/>
  </cols>
  <sheetData>
    <row r="1" spans="1:5" x14ac:dyDescent="0.25">
      <c r="A1" t="s">
        <v>10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s="1" t="s">
        <v>0</v>
      </c>
      <c r="B2" s="1">
        <f>(15.9895+15.9895+15.9896)/3</f>
        <v>15.989533333333332</v>
      </c>
      <c r="C2" s="1">
        <v>16.067699999999999</v>
      </c>
      <c r="D2" s="1">
        <f>(16.0645+16.0643+16.0645)/3</f>
        <v>16.06443333333333</v>
      </c>
      <c r="E2" s="1">
        <f t="shared" ref="E2:E4" si="0">D2-B2</f>
        <v>7.4899999999997746E-2</v>
      </c>
    </row>
    <row r="3" spans="1:5" x14ac:dyDescent="0.25">
      <c r="A3" s="1" t="s">
        <v>1</v>
      </c>
      <c r="B3" s="1">
        <f>(16.1679+16.1683+16.1683)/3</f>
        <v>16.168166666666664</v>
      </c>
      <c r="C3" s="1">
        <v>16.260999999999999</v>
      </c>
      <c r="D3" s="1">
        <f>(16.2591+16.2592+16.2592)/3</f>
        <v>16.259166666666665</v>
      </c>
      <c r="E3" s="1">
        <f t="shared" si="0"/>
        <v>9.100000000000108E-2</v>
      </c>
    </row>
    <row r="4" spans="1:5" x14ac:dyDescent="0.25">
      <c r="A4" s="1" t="s">
        <v>2</v>
      </c>
      <c r="B4" s="1">
        <f>(16.0419+16.0418+16.0418)/3</f>
        <v>16.041833333333329</v>
      </c>
      <c r="C4" s="1">
        <v>16.1265</v>
      </c>
      <c r="D4" s="1">
        <f>(16.1237+16.1237+16.1236)/3</f>
        <v>16.123666666666665</v>
      </c>
      <c r="E4" s="1">
        <f t="shared" si="0"/>
        <v>8.1833333333335645E-2</v>
      </c>
    </row>
    <row r="5" spans="1:5" x14ac:dyDescent="0.25">
      <c r="A5" s="1" t="s">
        <v>3</v>
      </c>
      <c r="B5" s="1">
        <f>(16.1773+16.1777+16.177769)/3</f>
        <v>16.177589666666666</v>
      </c>
      <c r="C5" s="1">
        <v>16.300599999999999</v>
      </c>
      <c r="D5" s="1">
        <f>(16.2704+16.27+16.2696)/3</f>
        <v>16.27</v>
      </c>
      <c r="E5" s="1">
        <f>D5-B5</f>
        <v>9.2410333333333483E-2</v>
      </c>
    </row>
    <row r="6" spans="1:5" x14ac:dyDescent="0.25">
      <c r="A6" s="1" t="s">
        <v>4</v>
      </c>
      <c r="B6" s="1">
        <f>(16.1773+16.1777+16.177769)/3</f>
        <v>16.177589666666666</v>
      </c>
      <c r="C6" s="1">
        <v>16.300599999999999</v>
      </c>
      <c r="D6" s="1">
        <f>(16.2704+16.27+16.2696)/3</f>
        <v>16.27</v>
      </c>
      <c r="E6" s="1">
        <f>D6-B6</f>
        <v>9.2410333333333483E-2</v>
      </c>
    </row>
    <row r="7" spans="1:5" x14ac:dyDescent="0.25">
      <c r="A7" s="1" t="s">
        <v>5</v>
      </c>
      <c r="B7" s="1">
        <f>(15.9716+15.9721+15.9721)/3</f>
        <v>15.971933333333332</v>
      </c>
      <c r="C7" s="1">
        <v>16.072600000000001</v>
      </c>
      <c r="D7" s="1">
        <f>(16.0283+16.0286+16.0285)/3</f>
        <v>16.028466666666667</v>
      </c>
      <c r="E7" s="1">
        <f>D7-B7</f>
        <v>5.6533333333334213E-2</v>
      </c>
    </row>
    <row r="8" spans="1:5" x14ac:dyDescent="0.25">
      <c r="A8" s="2" t="s">
        <v>11</v>
      </c>
      <c r="B8" s="2">
        <v>15.9894</v>
      </c>
      <c r="C8" s="1">
        <v>16.108000000000001</v>
      </c>
      <c r="D8" s="2">
        <v>16.108000000000001</v>
      </c>
      <c r="E8" s="1">
        <f t="shared" ref="E8:E19" si="1">D8-B8</f>
        <v>0.1186000000000007</v>
      </c>
    </row>
    <row r="9" spans="1:5" x14ac:dyDescent="0.25">
      <c r="A9" s="2" t="s">
        <v>12</v>
      </c>
      <c r="B9" s="2">
        <v>15.9719</v>
      </c>
      <c r="C9" s="1">
        <v>16.190899999999999</v>
      </c>
      <c r="D9" s="2">
        <v>16.168600000000001</v>
      </c>
      <c r="E9" s="1">
        <f t="shared" si="1"/>
        <v>0.19670000000000165</v>
      </c>
    </row>
    <row r="10" spans="1:5" x14ac:dyDescent="0.25">
      <c r="A10" t="s">
        <v>13</v>
      </c>
      <c r="B10" s="2">
        <v>16.168600000000001</v>
      </c>
      <c r="C10" s="1">
        <v>16.224699999999999</v>
      </c>
      <c r="D10" s="2">
        <v>16.221900000000002</v>
      </c>
      <c r="E10" s="1">
        <f t="shared" si="1"/>
        <v>5.3300000000000125E-2</v>
      </c>
    </row>
    <row r="11" spans="1:5" x14ac:dyDescent="0.25">
      <c r="A11" t="s">
        <v>14</v>
      </c>
      <c r="B11" s="2">
        <v>18.058399999999999</v>
      </c>
      <c r="C11" s="1">
        <v>18.143599999999999</v>
      </c>
      <c r="D11" s="2">
        <v>18.140999999999998</v>
      </c>
      <c r="E11" s="1">
        <f t="shared" si="1"/>
        <v>8.2599999999999341E-2</v>
      </c>
    </row>
    <row r="12" spans="1:5" x14ac:dyDescent="0.25">
      <c r="A12" t="s">
        <v>15</v>
      </c>
      <c r="B12" s="2">
        <v>18.639600000000002</v>
      </c>
      <c r="C12" s="1">
        <v>18.684899999999999</v>
      </c>
      <c r="D12" s="2">
        <v>18.6829</v>
      </c>
      <c r="E12" s="1">
        <f t="shared" si="1"/>
        <v>4.3299999999998562E-2</v>
      </c>
    </row>
    <row r="13" spans="1:5" x14ac:dyDescent="0.25">
      <c r="A13" t="s">
        <v>16</v>
      </c>
      <c r="B13" s="2">
        <v>17.7681</v>
      </c>
      <c r="C13" s="1">
        <v>17.841899999999999</v>
      </c>
      <c r="D13" s="2">
        <v>17.8415</v>
      </c>
      <c r="E13" s="1">
        <f t="shared" si="1"/>
        <v>7.3399999999999466E-2</v>
      </c>
    </row>
    <row r="14" spans="1:5" x14ac:dyDescent="0.25">
      <c r="A14" t="s">
        <v>17</v>
      </c>
      <c r="B14" s="2">
        <v>16.035</v>
      </c>
      <c r="C14" s="1">
        <v>16.146899999999999</v>
      </c>
      <c r="D14" s="2">
        <v>16.1328</v>
      </c>
      <c r="E14" s="1">
        <f t="shared" si="1"/>
        <v>9.7799999999999443E-2</v>
      </c>
    </row>
    <row r="15" spans="1:5" x14ac:dyDescent="0.25">
      <c r="A15" t="s">
        <v>18</v>
      </c>
      <c r="B15" s="2">
        <v>18.0581</v>
      </c>
      <c r="C15" s="1">
        <v>18.1572</v>
      </c>
      <c r="D15" s="2">
        <v>18.1523</v>
      </c>
      <c r="E15" s="1">
        <f t="shared" si="1"/>
        <v>9.4200000000000728E-2</v>
      </c>
    </row>
    <row r="16" spans="1:5" x14ac:dyDescent="0.25">
      <c r="A16" t="s">
        <v>19</v>
      </c>
      <c r="B16" s="2">
        <v>18.190799999999999</v>
      </c>
      <c r="C16" s="1">
        <v>18.293299999999999</v>
      </c>
      <c r="D16" s="2">
        <v>18.279800000000002</v>
      </c>
      <c r="E16" s="1">
        <f t="shared" si="1"/>
        <v>8.9000000000002188E-2</v>
      </c>
    </row>
    <row r="17" spans="1:5" x14ac:dyDescent="0.25">
      <c r="A17" t="s">
        <v>20</v>
      </c>
      <c r="B17" s="2">
        <v>17.615500000000001</v>
      </c>
      <c r="C17" s="2">
        <v>17.7121</v>
      </c>
      <c r="D17" s="2">
        <v>17.708100000000002</v>
      </c>
      <c r="E17" s="3">
        <f t="shared" si="1"/>
        <v>9.2600000000000904E-2</v>
      </c>
    </row>
    <row r="18" spans="1:5" x14ac:dyDescent="0.25">
      <c r="A18" t="s">
        <v>21</v>
      </c>
      <c r="B18" s="2">
        <v>18.190799999999999</v>
      </c>
      <c r="C18" s="1">
        <v>18.2973</v>
      </c>
      <c r="D18" s="2">
        <v>18.290500000000002</v>
      </c>
      <c r="E18" s="3">
        <f t="shared" si="1"/>
        <v>9.970000000000212E-2</v>
      </c>
    </row>
    <row r="19" spans="1:5" x14ac:dyDescent="0.25">
      <c r="A19" t="s">
        <v>22</v>
      </c>
      <c r="B19" s="2">
        <v>17.6158</v>
      </c>
      <c r="C19" s="1">
        <v>17.7151</v>
      </c>
      <c r="D19" s="2">
        <v>17.710799999999999</v>
      </c>
      <c r="E19" s="3">
        <f t="shared" si="1"/>
        <v>9.4999999999998863E-2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Monteiro Soares, Patricia</dc:creator>
  <cp:lastModifiedBy>Monteiro Soares, Patricia</cp:lastModifiedBy>
  <dcterms:created xsi:type="dcterms:W3CDTF">2015-06-05T18:19:34Z</dcterms:created>
  <dcterms:modified xsi:type="dcterms:W3CDTF">2026-02-23T15:00:26Z</dcterms:modified>
</cp:coreProperties>
</file>